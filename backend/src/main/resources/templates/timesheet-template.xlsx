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627FDEF-D349-4F3C-BEBE-A984ECD072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mesheet" sheetId="1" r:id="rId1"/>
  </sheets>
  <definedNames>
    <definedName name="RegularHours">Timesheet!#REF!</definedName>
    <definedName name="TotalHoursWorked">Timesheet!$E$9</definedName>
    <definedName name="WorkWeekHours">Timesheet!$B$9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17" i="1"/>
  <c r="G18" i="1"/>
  <c r="G19" i="1"/>
  <c r="G20" i="1"/>
  <c r="G16" i="1"/>
  <c r="G14" i="1"/>
  <c r="G15" i="1"/>
  <c r="B15" i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E9" i="1" l="1"/>
</calcChain>
</file>

<file path=xl/sharedStrings.xml><?xml version="1.0" encoding="utf-8"?>
<sst xmlns="http://schemas.openxmlformats.org/spreadsheetml/2006/main" count="22" uniqueCount="22">
  <si>
    <t>Maxwell Network</t>
  </si>
  <si>
    <t xml:space="preserve"> </t>
  </si>
  <si>
    <t>Employee Details</t>
  </si>
  <si>
    <t>Manager Details</t>
  </si>
  <si>
    <t>Total Work Week Hours</t>
  </si>
  <si>
    <t>Total Hours Worked</t>
  </si>
  <si>
    <t>Timesheet Period</t>
  </si>
  <si>
    <t>Period Start</t>
  </si>
  <si>
    <t>Period End</t>
  </si>
  <si>
    <t>Date</t>
  </si>
  <si>
    <t>Time In</t>
  </si>
  <si>
    <t>Lunch Start</t>
  </si>
  <si>
    <t>Lunch End</t>
  </si>
  <si>
    <t>Time Out</t>
  </si>
  <si>
    <t>Hours Worked</t>
  </si>
  <si>
    <r>
      <rPr>
        <b/>
        <sz val="16"/>
        <color rgb="FF000000"/>
        <rFont val="Arial"/>
        <family val="2"/>
        <scheme val="minor"/>
      </rPr>
      <t>Note</t>
    </r>
    <r>
      <rPr>
        <sz val="16"/>
        <color rgb="FF000000"/>
        <rFont val="Arial"/>
        <family val="2"/>
        <scheme val="minor"/>
      </rPr>
      <t>: No hours days are either weekends or holidays</t>
    </r>
  </si>
  <si>
    <r>
      <rPr>
        <b/>
        <sz val="12"/>
        <color rgb="FF0070C0"/>
        <rFont val="Arial"/>
        <family val="2"/>
        <scheme val="minor"/>
      </rPr>
      <t>Last 4 digits of SS</t>
    </r>
    <r>
      <rPr>
        <sz val="12"/>
        <color rgb="FF0070C0"/>
        <rFont val="Arial"/>
        <family val="2"/>
        <scheme val="minor"/>
      </rPr>
      <t>:</t>
    </r>
  </si>
  <si>
    <r>
      <rPr>
        <b/>
        <sz val="12"/>
        <color rgb="FF0070C0"/>
        <rFont val="Arial"/>
        <family val="2"/>
        <scheme val="minor"/>
      </rPr>
      <t>Name</t>
    </r>
    <r>
      <rPr>
        <sz val="12"/>
        <color rgb="FF0070C0"/>
        <rFont val="Arial"/>
        <family val="2"/>
        <scheme val="minor"/>
      </rPr>
      <t>: Employee Name</t>
    </r>
  </si>
  <si>
    <r>
      <rPr>
        <b/>
        <sz val="12"/>
        <color rgb="FF0070C0"/>
        <rFont val="Arial"/>
        <family val="2"/>
        <scheme val="minor"/>
      </rPr>
      <t>Name</t>
    </r>
    <r>
      <rPr>
        <sz val="12"/>
        <color rgb="FF0070C0"/>
        <rFont val="Arial"/>
        <family val="2"/>
        <scheme val="minor"/>
      </rPr>
      <t xml:space="preserve">: Syed Hussain </t>
    </r>
  </si>
  <si>
    <r>
      <rPr>
        <b/>
        <sz val="12"/>
        <color rgb="FF0070C0"/>
        <rFont val="Arial"/>
        <family val="2"/>
        <scheme val="minor"/>
      </rPr>
      <t>Enter Manager's Phone No</t>
    </r>
    <r>
      <rPr>
        <sz val="12"/>
        <color rgb="FF0070C0"/>
        <rFont val="Arial"/>
        <family val="2"/>
        <scheme val="minor"/>
      </rPr>
      <t>: (872) 999-2576</t>
    </r>
  </si>
  <si>
    <t>Pay rate: $0 per hour</t>
  </si>
  <si>
    <t>TIMESHEET for Month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</si>
</sst>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[$-409]h:mm\ AM/PM;@"/>
  </numFmts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36"/>
      <color rgb="FF0070C0"/>
      <name val="Arial"/>
      <family val="2"/>
    </font>
    <font>
      <b/>
      <sz val="18"/>
      <color rgb="FF0070C0"/>
      <name val="Arial"/>
      <family val="2"/>
    </font>
    <font>
      <sz val="18"/>
      <color theme="0"/>
      <name val="Arial"/>
      <family val="2"/>
    </font>
    <font>
      <b/>
      <sz val="36"/>
      <color theme="0"/>
      <name val="Arial"/>
      <family val="2"/>
      <scheme val="major"/>
    </font>
    <font>
      <sz val="11"/>
      <color theme="1"/>
      <name val="Arial"/>
      <family val="2"/>
      <scheme val="major"/>
    </font>
    <font>
      <b/>
      <sz val="12"/>
      <color theme="0"/>
      <name val="Arial"/>
      <family val="2"/>
      <scheme val="major"/>
    </font>
    <font>
      <sz val="12"/>
      <color theme="0"/>
      <name val="Arial"/>
      <family val="2"/>
      <scheme val="major"/>
    </font>
    <font>
      <sz val="12"/>
      <color rgb="FFBBFBF5"/>
      <name val="Arial"/>
      <family val="2"/>
      <scheme val="major"/>
    </font>
    <font>
      <b/>
      <sz val="12"/>
      <color rgb="FFBBFBF5"/>
      <name val="Arial"/>
      <family val="2"/>
      <scheme val="major"/>
    </font>
    <font>
      <sz val="18"/>
      <color theme="4" tint="-9.9978637043366805E-2"/>
      <name val="Arial"/>
      <family val="2"/>
      <scheme val="minor"/>
    </font>
    <font>
      <sz val="12"/>
      <color theme="6"/>
      <name val="Arial"/>
      <family val="2"/>
      <scheme val="minor"/>
    </font>
    <font>
      <b/>
      <sz val="12"/>
      <color theme="6"/>
      <name val="Arial"/>
      <family val="2"/>
      <scheme val="minor"/>
    </font>
    <font>
      <sz val="12"/>
      <color theme="1" tint="0.249977111117893"/>
      <name val="Arial"/>
      <family val="2"/>
      <scheme val="minor"/>
    </font>
    <font>
      <sz val="12"/>
      <color rgb="FF0070C0"/>
      <name val="Arial"/>
      <family val="2"/>
      <scheme val="minor"/>
    </font>
    <font>
      <b/>
      <sz val="12"/>
      <color rgb="FF0070C0"/>
      <name val="Arial"/>
      <family val="2"/>
      <scheme val="minor"/>
    </font>
    <font>
      <b/>
      <sz val="24"/>
      <color rgb="FFBCFCF5"/>
      <name val="Arial"/>
      <family val="2"/>
      <scheme val="minor"/>
    </font>
    <font>
      <b/>
      <sz val="28"/>
      <color rgb="FFFFFFFF"/>
      <name val="Arial"/>
      <family val="2"/>
      <scheme val="major"/>
    </font>
    <font>
      <b/>
      <sz val="2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CFEF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center"/>
    </xf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3" borderId="0" xfId="0" applyFont="1" applyFill="1" applyAlignment="1">
      <alignment horizontal="left" vertical="top" indent="1"/>
    </xf>
    <xf numFmtId="0" fontId="1" fillId="3" borderId="0" xfId="0" applyFont="1" applyFill="1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left" vertical="center" indent="2"/>
    </xf>
    <xf numFmtId="0" fontId="8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 indent="1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indent="2"/>
    </xf>
    <xf numFmtId="0" fontId="12" fillId="3" borderId="0" xfId="0" applyFont="1" applyFill="1" applyAlignment="1">
      <alignment horizontal="left" vertical="center" indent="2"/>
    </xf>
    <xf numFmtId="0" fontId="12" fillId="3" borderId="0" xfId="0" applyFont="1" applyFill="1"/>
    <xf numFmtId="0" fontId="12" fillId="3" borderId="0" xfId="0" applyFont="1" applyFill="1" applyAlignment="1">
      <alignment horizontal="left" vertical="top" indent="2"/>
    </xf>
    <xf numFmtId="0" fontId="13" fillId="3" borderId="0" xfId="0" applyFont="1" applyFill="1" applyAlignment="1">
      <alignment horizontal="left" vertical="center" indent="2"/>
    </xf>
    <xf numFmtId="2" fontId="13" fillId="3" borderId="0" xfId="0" applyNumberFormat="1" applyFont="1" applyFill="1" applyAlignment="1">
      <alignment horizontal="left" vertical="center" indent="2"/>
    </xf>
    <xf numFmtId="2" fontId="13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left" indent="2"/>
    </xf>
    <xf numFmtId="14" fontId="12" fillId="3" borderId="0" xfId="0" applyNumberFormat="1" applyFont="1" applyFill="1" applyAlignment="1">
      <alignment horizontal="left" indent="2"/>
    </xf>
    <xf numFmtId="0" fontId="12" fillId="3" borderId="0" xfId="0" applyFont="1" applyFill="1" applyAlignment="1">
      <alignment horizontal="left" indent="2"/>
    </xf>
    <xf numFmtId="14" fontId="12" fillId="3" borderId="0" xfId="0" applyNumberFormat="1" applyFont="1" applyFill="1" applyAlignment="1">
      <alignment horizontal="left" vertical="top" indent="2"/>
    </xf>
    <xf numFmtId="14" fontId="7" fillId="0" borderId="0" xfId="0" applyNumberFormat="1" applyFont="1" applyAlignment="1">
      <alignment horizontal="left" vertical="center" indent="2"/>
    </xf>
    <xf numFmtId="16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65" fontId="14" fillId="0" borderId="0" xfId="0" applyNumberFormat="1" applyFont="1" applyAlignment="1">
      <alignment horizontal="left" vertical="center" indent="1"/>
    </xf>
    <xf numFmtId="2" fontId="15" fillId="0" borderId="0" xfId="0" applyNumberFormat="1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15" fillId="3" borderId="0" xfId="0" applyFont="1" applyFill="1" applyAlignment="1">
      <alignment horizontal="left" vertical="top" indent="2"/>
    </xf>
    <xf numFmtId="0" fontId="15" fillId="3" borderId="0" xfId="0" applyFont="1" applyFill="1" applyAlignment="1">
      <alignment horizontal="left" vertical="center" indent="2"/>
    </xf>
    <xf numFmtId="0" fontId="12" fillId="3" borderId="0" xfId="0" applyFont="1" applyFill="1" applyAlignment="1">
      <alignment horizontal="center" vertical="top"/>
    </xf>
    <xf numFmtId="0" fontId="15" fillId="3" borderId="0" xfId="0" applyFont="1" applyFill="1" applyAlignment="1">
      <alignment horizontal="left" vertical="top" wrapText="1" indent="2"/>
    </xf>
    <xf numFmtId="0" fontId="18" fillId="2" borderId="0" xfId="0" applyFont="1" applyFill="1" applyAlignment="1">
      <alignment horizontal="left" vertical="center" indent="2"/>
    </xf>
    <xf numFmtId="0" fontId="5" fillId="2" borderId="0" xfId="0" applyFont="1" applyFill="1" applyAlignment="1">
      <alignment horizontal="left" vertical="center" indent="2"/>
    </xf>
    <xf numFmtId="0" fontId="17" fillId="2" borderId="0" xfId="0" applyFont="1" applyFill="1" applyAlignment="1">
      <alignment horizontal="left" vertical="top" indent="2"/>
    </xf>
    <xf numFmtId="0" fontId="11" fillId="2" borderId="0" xfId="0" applyFont="1" applyFill="1" applyAlignment="1">
      <alignment horizontal="left" vertical="top" indent="2"/>
    </xf>
    <xf numFmtId="165" fontId="14" fillId="0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rgb="FF0070C0"/>
        <name val="Arial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77111117893"/>
        <name val="Arial"/>
        <family val="2"/>
        <scheme val="minor"/>
      </font>
      <numFmt numFmtId="165" formatCode="[$-409]h:mm\ AM/PM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77111117893"/>
        <name val="Arial"/>
        <family val="2"/>
        <scheme val="minor"/>
      </font>
      <numFmt numFmtId="165" formatCode="[$-409]h:mm\ AM/PM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77111117893"/>
        <name val="Arial"/>
        <family val="2"/>
        <scheme val="minor"/>
      </font>
      <numFmt numFmtId="165" formatCode="[$-409]h:mm\ AM/PM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77111117893"/>
        <name val="Arial"/>
        <family val="2"/>
        <scheme val="minor"/>
      </font>
      <numFmt numFmtId="165" formatCode="[$-409]h:mm\ AM/PM;@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77111117893"/>
        <name val="Arial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ck">
          <color rgb="FF0070C0"/>
        </left>
        <top style="thick">
          <color rgb="FF0070C0"/>
        </top>
        <bottom style="thick">
          <color rgb="FF0070C0"/>
        </bottom>
      </border>
    </dxf>
    <dxf>
      <font>
        <strike val="0"/>
        <outline val="0"/>
        <shadow val="0"/>
        <u val="none"/>
        <vertAlign val="baseline"/>
        <sz val="12"/>
        <color theme="1" tint="0.249977111117893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lor theme="0"/>
      </font>
      <fill>
        <patternFill patternType="solid">
          <fgColor theme="6"/>
          <bgColor theme="6"/>
        </patternFill>
      </fill>
      <border>
        <left style="thick">
          <color theme="6"/>
        </left>
        <right style="thick">
          <color theme="6"/>
        </right>
        <top style="thick">
          <color theme="6"/>
        </top>
        <bottom style="thick">
          <color theme="6"/>
        </bottom>
        <vertical/>
        <horizontal/>
      </border>
    </dxf>
    <dxf>
      <fill>
        <patternFill>
          <bgColor theme="4"/>
        </patternFill>
      </fill>
      <border>
        <left style="thick">
          <color theme="6"/>
        </left>
        <right style="thick">
          <color theme="6"/>
        </right>
        <top style="thick">
          <color theme="6"/>
        </top>
        <bottom style="thick">
          <color theme="6"/>
        </bottom>
        <vertical style="thick">
          <color theme="6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2" xr9:uid="{00000000-0011-0000-FFFF-FFFF00000000}">
      <tableStyleElement type="wholeTable" dxfId="10"/>
      <tableStyleElement type="headerRow" dxfId="9"/>
    </tableStyle>
  </tableStyles>
  <colors>
    <mruColors>
      <color rgb="FFECFEFC"/>
      <color rgb="FF0070C0"/>
      <color rgb="FFFCE6BA"/>
      <color rgb="FFF0FEFD"/>
      <color rgb="FFE3FBFD"/>
      <color rgb="FF9FD6FF"/>
      <color rgb="FF1D9EFF"/>
      <color rgb="FFBBFBF5"/>
      <color rgb="FF81C9FF"/>
      <color rgb="FFDFFD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530226</xdr:colOff>
      <xdr:row>0</xdr:row>
      <xdr:rowOff>0</xdr:rowOff>
    </xdr:from>
    <xdr:to>
      <xdr:col>8</xdr:col>
      <xdr:colOff>596900</xdr:colOff>
      <xdr:row>3</xdr:row>
      <xdr:rowOff>53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FBE015F-7A3A-45AC-96AA-7E7A8D127A5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7893051" y="0"/>
          <a:ext cx="1704974" cy="1447853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0</xdr:colOff>
      <xdr:row>2</xdr:row>
      <xdr:rowOff>573471</xdr:rowOff>
    </xdr:from>
    <xdr:to>
      <xdr:col>6</xdr:col>
      <xdr:colOff>225486</xdr:colOff>
      <xdr:row>2</xdr:row>
      <xdr:rowOff>1329690</xdr:rowOff>
    </xdr:to>
    <xdr:sp macro="" textlink="">
      <xdr:nvSpPr>
        <xdr:cNvPr id="5" name="TextBox 1" descr="Timesheet" title="Title 1">
          <a:extLst>
            <a:ext uri="{FF2B5EF4-FFF2-40B4-BE49-F238E27FC236}">
              <a16:creationId xmlns:a16="http://schemas.microsoft.com/office/drawing/2014/main" id="{5BC1378B-1867-4135-A11D-CA6B9AA20AB9}"/>
            </a:ext>
          </a:extLst>
        </xdr:cNvPr>
        <xdr:cNvSpPr txBox="1"/>
      </xdr:nvSpPr>
      <xdr:spPr>
        <a:xfrm>
          <a:off x="152400" y="573471"/>
          <a:ext cx="5407086" cy="75621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/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+mj-lt"/>
          </a:endParaRPr>
        </a:p>
      </xdr:txBody>
    </xdr:sp>
    <xdr:clientData/>
  </xdr:twoCellAnchor>
  <xdr:twoCellAnchor>
    <xdr:from>
      <xdr:col>7</xdr:col>
      <xdr:colOff>70736</xdr:colOff>
      <xdr:row>4</xdr:row>
      <xdr:rowOff>0</xdr:rowOff>
    </xdr:from>
    <xdr:to>
      <xdr:col>8</xdr:col>
      <xdr:colOff>229488</xdr:colOff>
      <xdr:row>5</xdr:row>
      <xdr:rowOff>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FEA4E9F-1604-BE2A-DC85-97603443D02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9550912" y="1905000"/>
          <a:ext cx="465047" cy="444501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70736</xdr:colOff>
      <xdr:row>7</xdr:row>
      <xdr:rowOff>0</xdr:rowOff>
    </xdr:from>
    <xdr:to>
      <xdr:col>8</xdr:col>
      <xdr:colOff>229488</xdr:colOff>
      <xdr:row>8</xdr:row>
      <xdr:rowOff>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5C20606-24A9-A5F8-E38A-B104AD5856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9550912" y="3238500"/>
          <a:ext cx="465047" cy="444500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70737</xdr:colOff>
      <xdr:row>9</xdr:row>
      <xdr:rowOff>0</xdr:rowOff>
    </xdr:from>
    <xdr:to>
      <xdr:col>8</xdr:col>
      <xdr:colOff>229489</xdr:colOff>
      <xdr:row>10</xdr:row>
      <xdr:rowOff>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0B1B284-B3C1-7A4E-B19E-07B9B8F7AB3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9550913" y="5270500"/>
          <a:ext cx="465047" cy="444500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0070C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Timesheet" displayName="Table_Timesheet" ref="B13:G44" totalsRowShown="0" headerRowDxfId="8" dataDxfId="7" tableBorderDxfId="6">
  <tableColumns count="6">
    <tableColumn id="1" xr3:uid="{00000000-0010-0000-0000-000001000000}" name="Date" dataDxfId="5"/>
    <tableColumn id="2" xr3:uid="{00000000-0010-0000-0000-000002000000}" name="Time In" dataDxfId="4"/>
    <tableColumn id="3" xr3:uid="{00000000-0010-0000-0000-000003000000}" name="Lunch Start" dataDxfId="3"/>
    <tableColumn id="4" xr3:uid="{00000000-0010-0000-0000-000004000000}" name="Lunch End" dataDxfId="2"/>
    <tableColumn id="5" xr3:uid="{00000000-0010-0000-0000-000005000000}" name="Time Out" dataDxfId="1"/>
    <tableColumn id="6" xr3:uid="{00000000-0010-0000-0000-000006000000}" name="Hours Worked" dataDxfId="0">
      <calculatedColumnFormula>IFERROR(IF(COUNT(C14:F14)=4,(IF(F14&lt;C14,1,0)+F14)-E14+D14-C14,IF(AND(LEN(C14)&lt;&gt;0,LEN(F14)&lt;&gt;0),(IF(F14&lt;C14,1,0)+F14)-C14,0))*24,0)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41">
      <a:dk1>
        <a:sysClr val="windowText" lastClr="000000"/>
      </a:dk1>
      <a:lt1>
        <a:sysClr val="window" lastClr="FFFFFF"/>
      </a:lt1>
      <a:dk2>
        <a:srgbClr val="F2E7DE"/>
      </a:dk2>
      <a:lt2>
        <a:srgbClr val="E7E6E6"/>
      </a:lt2>
      <a:accent1>
        <a:srgbClr val="ECFEFC"/>
      </a:accent1>
      <a:accent2>
        <a:srgbClr val="FDEBB9"/>
      </a:accent2>
      <a:accent3>
        <a:srgbClr val="0070C0"/>
      </a:accent3>
      <a:accent4>
        <a:srgbClr val="9E17F1"/>
      </a:accent4>
      <a:accent5>
        <a:srgbClr val="00B050"/>
      </a:accent5>
      <a:accent6>
        <a:srgbClr val="EE880C"/>
      </a:accent6>
      <a:hlink>
        <a:srgbClr val="0096D2"/>
      </a:hlink>
      <a:folHlink>
        <a:srgbClr val="00578B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A8B08B-3BFD-41C6-94B5-25F685ECD99B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ABXjvba5HeAaQRG4pwhK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showGridLines="0" tabSelected="1" zoomScaleNormal="100" workbookViewId="0">
      <selection activeCell="J9" sqref="J9"/>
    </sheetView>
  </sheetViews>
  <sheetFormatPr defaultColWidth="9.09765625" defaultRowHeight="30" customHeight="1" x14ac:dyDescent="0.25"/>
  <cols>
    <col min="1" max="1" width="7.8984375" style="1" customWidth="1"/>
    <col min="2" max="4" width="17.69921875" style="1" customWidth="1"/>
    <col min="5" max="5" width="19.19921875" style="1" customWidth="1"/>
    <col min="6" max="7" width="17.69921875" style="1" customWidth="1"/>
    <col min="8" max="8" width="3.69921875" style="1" customWidth="1"/>
    <col min="9" max="9" width="7.8984375" style="1" customWidth="1"/>
    <col min="10" max="10" width="71.59765625" style="1" customWidth="1"/>
    <col min="11" max="20" width="30.69921875" style="1" customWidth="1"/>
    <col min="21" max="16384" width="9.09765625" style="1"/>
  </cols>
  <sheetData>
    <row r="1" spans="1:10" ht="34.950000000000003" customHeight="1" x14ac:dyDescent="0.25">
      <c r="A1" s="12"/>
      <c r="B1" s="15"/>
      <c r="C1" s="15"/>
      <c r="D1" s="15"/>
      <c r="E1" s="15"/>
      <c r="F1" s="15"/>
      <c r="G1" s="15"/>
      <c r="H1" s="6"/>
      <c r="I1" s="4"/>
    </row>
    <row r="2" spans="1:10" ht="40.200000000000003" customHeight="1" x14ac:dyDescent="0.25">
      <c r="A2" s="12"/>
      <c r="B2" s="49" t="s">
        <v>21</v>
      </c>
      <c r="C2" s="50"/>
      <c r="D2" s="50"/>
      <c r="E2" s="50"/>
      <c r="F2" s="7"/>
      <c r="G2" s="7"/>
      <c r="H2" s="6"/>
      <c r="I2" s="4"/>
      <c r="J2" s="42" t="s">
        <v>20</v>
      </c>
    </row>
    <row r="3" spans="1:10" s="2" customFormat="1" ht="40.200000000000003" customHeight="1" x14ac:dyDescent="0.25">
      <c r="A3" s="13"/>
      <c r="B3" s="51" t="s">
        <v>0</v>
      </c>
      <c r="C3" s="52"/>
      <c r="D3" s="52"/>
      <c r="E3" s="52"/>
      <c r="F3" s="9"/>
      <c r="G3" s="9"/>
      <c r="H3" s="8" t="s">
        <v>1</v>
      </c>
      <c r="I3" s="3"/>
    </row>
    <row r="4" spans="1:10" s="2" customFormat="1" ht="19.95" customHeight="1" x14ac:dyDescent="0.25">
      <c r="A4" s="3"/>
      <c r="B4" s="10"/>
      <c r="C4" s="8"/>
      <c r="D4" s="8"/>
      <c r="E4" s="8"/>
      <c r="F4" s="8"/>
      <c r="G4" s="8"/>
      <c r="H4" s="8"/>
      <c r="I4" s="3"/>
    </row>
    <row r="5" spans="1:10" customFormat="1" ht="40.200000000000003" customHeight="1" x14ac:dyDescent="0.25">
      <c r="A5" s="16"/>
      <c r="B5" s="17" t="s">
        <v>2</v>
      </c>
      <c r="C5" s="18"/>
      <c r="D5" s="18"/>
      <c r="E5" s="17" t="s">
        <v>3</v>
      </c>
      <c r="F5" s="19"/>
      <c r="G5" s="17"/>
      <c r="H5" s="14"/>
      <c r="I5" s="5"/>
    </row>
    <row r="6" spans="1:10" customFormat="1" ht="34.950000000000003" customHeight="1" x14ac:dyDescent="0.25">
      <c r="A6" s="5"/>
      <c r="B6" s="46" t="s">
        <v>17</v>
      </c>
      <c r="C6" s="27"/>
      <c r="D6" s="27"/>
      <c r="E6" s="46" t="s">
        <v>18</v>
      </c>
      <c r="F6" s="27"/>
      <c r="G6" s="26"/>
      <c r="H6" s="11"/>
      <c r="I6" s="5"/>
    </row>
    <row r="7" spans="1:10" customFormat="1" ht="34.950000000000003" customHeight="1" x14ac:dyDescent="0.25">
      <c r="A7" s="5"/>
      <c r="B7" s="48" t="s">
        <v>16</v>
      </c>
      <c r="C7" s="47">
        <v>5236</v>
      </c>
      <c r="D7" s="27"/>
      <c r="E7" s="45" t="s">
        <v>19</v>
      </c>
      <c r="F7" s="27"/>
      <c r="G7" s="28"/>
      <c r="H7" s="11"/>
      <c r="I7" s="5"/>
    </row>
    <row r="8" spans="1:10" customFormat="1" ht="40.200000000000003" customHeight="1" x14ac:dyDescent="0.25">
      <c r="A8" s="16"/>
      <c r="B8" s="17" t="s">
        <v>4</v>
      </c>
      <c r="C8" s="20"/>
      <c r="D8" s="20"/>
      <c r="E8" s="17" t="s">
        <v>5</v>
      </c>
      <c r="F8" s="17"/>
      <c r="G8" s="17"/>
      <c r="H8" s="14"/>
      <c r="I8" s="5"/>
      <c r="J8" s="1"/>
    </row>
    <row r="9" spans="1:10" customFormat="1" ht="37.950000000000003" customHeight="1" x14ac:dyDescent="0.25">
      <c r="A9" s="5"/>
      <c r="B9" s="29">
        <v>22</v>
      </c>
      <c r="C9" s="29"/>
      <c r="D9" s="29"/>
      <c r="E9" s="30">
        <f>SUM(G14:G44)</f>
        <v>93</v>
      </c>
      <c r="F9" s="31"/>
      <c r="G9" s="31"/>
      <c r="H9" s="5"/>
      <c r="I9" s="5"/>
    </row>
    <row r="10" spans="1:10" ht="40.200000000000003" customHeight="1" x14ac:dyDescent="0.3">
      <c r="A10" s="21"/>
      <c r="B10" s="17" t="s">
        <v>6</v>
      </c>
      <c r="C10" s="22"/>
      <c r="D10" s="23"/>
      <c r="E10" s="24"/>
      <c r="F10" s="24"/>
      <c r="G10" s="25"/>
      <c r="H10" s="15"/>
      <c r="I10" s="4"/>
    </row>
    <row r="11" spans="1:10" ht="34.950000000000003" customHeight="1" x14ac:dyDescent="0.3">
      <c r="A11" s="4"/>
      <c r="B11" s="32" t="s">
        <v>7</v>
      </c>
      <c r="C11" s="33"/>
      <c r="D11" s="34"/>
      <c r="E11" s="32" t="s">
        <v>8</v>
      </c>
      <c r="F11" s="32"/>
      <c r="G11" s="32"/>
      <c r="H11" s="6"/>
      <c r="I11" s="4"/>
    </row>
    <row r="12" spans="1:10" ht="34.950000000000003" customHeight="1" x14ac:dyDescent="0.25">
      <c r="A12" s="4"/>
      <c r="B12" s="35">
        <v>46235</v>
      </c>
      <c r="C12" s="35"/>
      <c r="D12" s="28"/>
      <c r="E12" s="35">
        <v>46265</v>
      </c>
      <c r="F12" s="28"/>
      <c r="G12" s="35"/>
      <c r="H12" s="6"/>
      <c r="I12" s="4"/>
    </row>
    <row r="13" spans="1:10" ht="40.200000000000003" customHeight="1" x14ac:dyDescent="0.25">
      <c r="A13" s="4"/>
      <c r="B13" s="36" t="s">
        <v>9</v>
      </c>
      <c r="C13" s="37" t="s">
        <v>10</v>
      </c>
      <c r="D13" s="37" t="s">
        <v>11</v>
      </c>
      <c r="E13" s="37" t="s">
        <v>12</v>
      </c>
      <c r="F13" s="37" t="s">
        <v>13</v>
      </c>
      <c r="G13" s="38" t="s">
        <v>14</v>
      </c>
      <c r="H13" s="6"/>
      <c r="I13" s="4"/>
    </row>
    <row r="14" spans="1:10" ht="34.950000000000003" customHeight="1" x14ac:dyDescent="0.25">
      <c r="A14" s="4"/>
      <c r="B14" s="44">
        <v>46235</v>
      </c>
      <c r="C14" s="39"/>
      <c r="D14" s="39"/>
      <c r="E14" s="39"/>
      <c r="F14" s="39"/>
      <c r="G14" s="40">
        <f>IFERROR(IF(COUNT(B14:F14)=4,(IF(F14&lt;C14,1,0)+F14)-E14+D14-C14,IF(AND(LEN(C14)&lt;&gt;0,LEN(F14)&lt;&gt;0),(IF(F14&lt;C14,1,0)+F14)-C14,0))*24,0)</f>
        <v>0</v>
      </c>
      <c r="H14" s="6"/>
      <c r="I14" s="4"/>
    </row>
    <row r="15" spans="1:10" ht="34.950000000000003" customHeight="1" x14ac:dyDescent="0.25">
      <c r="A15" s="4"/>
      <c r="B15" s="44">
        <f t="shared" ref="B15:B44" si="0">B14+1</f>
        <v>46236</v>
      </c>
      <c r="C15" s="39"/>
      <c r="D15" s="39"/>
      <c r="E15" s="39"/>
      <c r="F15" s="39"/>
      <c r="G15" s="40">
        <f t="shared" ref="G14:G44" si="1">IFERROR(IF(COUNT(C15:F15)=4,(IF(F15&lt;C15,1,0)+F15)-E15+D15-C15,IF(AND(LEN(C15)&lt;&gt;0,LEN(F15)&lt;&gt;0),(IF(F15&lt;C15,1,0)+F15)-C15,0))*24,0)</f>
        <v>0</v>
      </c>
      <c r="H15" s="6"/>
      <c r="I15" s="4"/>
    </row>
    <row r="16" spans="1:10" ht="34.950000000000003" customHeight="1" x14ac:dyDescent="0.25">
      <c r="A16" s="4"/>
      <c r="B16" s="44">
        <f t="shared" si="0"/>
        <v>46237</v>
      </c>
      <c r="C16" s="39">
        <v>0.375</v>
      </c>
      <c r="D16" s="39"/>
      <c r="E16" s="39"/>
      <c r="F16" s="39">
        <v>0.58333333333333337</v>
      </c>
      <c r="G16" s="40">
        <f>IFERROR(IF(COUNT(C16:F16)=4,(IF(F16&lt;C16,1,0)+F16)-E16+D16-C16,IF(AND(LEN(C16)&lt;&gt;0,LEN(F16)&lt;&gt;0),(IF(F16&lt;C16,1,0)+F16)-C16,0))*24,0)</f>
        <v>5.0000000000000009</v>
      </c>
      <c r="H16" s="6"/>
      <c r="I16" s="4"/>
    </row>
    <row r="17" spans="1:10" ht="34.950000000000003" customHeight="1" x14ac:dyDescent="0.25">
      <c r="A17" s="4"/>
      <c r="B17" s="44">
        <f t="shared" si="0"/>
        <v>46238</v>
      </c>
      <c r="C17" s="39">
        <v>0.375</v>
      </c>
      <c r="D17" s="39"/>
      <c r="E17" s="39"/>
      <c r="F17" s="39">
        <v>0.58333333333333337</v>
      </c>
      <c r="G17" s="40">
        <f t="shared" ref="G17:G44" si="2">IFERROR(IF(COUNT(C17:F17)=4,(IF(F17&lt;C17,1,0)+F17)-E17+D17-C17,IF(AND(LEN(C17)&lt;&gt;0,LEN(F17)&lt;&gt;0),(IF(F17&lt;C17,1,0)+F17)-C17,0))*24,0)</f>
        <v>5.0000000000000009</v>
      </c>
      <c r="H17" s="6"/>
      <c r="I17" s="4"/>
    </row>
    <row r="18" spans="1:10" ht="34.950000000000003" customHeight="1" x14ac:dyDescent="0.25">
      <c r="A18" s="4"/>
      <c r="B18" s="44">
        <f t="shared" si="0"/>
        <v>46239</v>
      </c>
      <c r="C18" s="39">
        <v>0.375</v>
      </c>
      <c r="D18" s="39"/>
      <c r="E18" s="39"/>
      <c r="F18" s="39">
        <v>0.54166666666666663</v>
      </c>
      <c r="G18" s="40">
        <f t="shared" si="2"/>
        <v>3.9999999999999991</v>
      </c>
      <c r="H18" s="6"/>
      <c r="I18" s="4"/>
    </row>
    <row r="19" spans="1:10" ht="34.950000000000003" customHeight="1" x14ac:dyDescent="0.25">
      <c r="A19" s="4"/>
      <c r="B19" s="44">
        <f t="shared" si="0"/>
        <v>46240</v>
      </c>
      <c r="C19" s="53">
        <v>0.375</v>
      </c>
      <c r="D19" s="53"/>
      <c r="E19" s="53"/>
      <c r="F19" s="53">
        <v>0.54166666666666663</v>
      </c>
      <c r="G19" s="40">
        <f t="shared" si="2"/>
        <v>3.9999999999999991</v>
      </c>
      <c r="H19" s="6"/>
      <c r="I19" s="4"/>
    </row>
    <row r="20" spans="1:10" ht="34.950000000000003" customHeight="1" x14ac:dyDescent="0.25">
      <c r="A20" s="4"/>
      <c r="B20" s="44">
        <f t="shared" si="0"/>
        <v>46241</v>
      </c>
      <c r="C20" s="53">
        <v>0.375</v>
      </c>
      <c r="D20" s="53"/>
      <c r="E20" s="53"/>
      <c r="F20" s="53">
        <v>0.54166666666666663</v>
      </c>
      <c r="G20" s="40">
        <f t="shared" si="2"/>
        <v>3.9999999999999991</v>
      </c>
      <c r="H20" s="6"/>
      <c r="I20" s="4"/>
    </row>
    <row r="21" spans="1:10" ht="34.950000000000003" customHeight="1" x14ac:dyDescent="0.25">
      <c r="A21" s="4"/>
      <c r="B21" s="44">
        <f t="shared" si="0"/>
        <v>46242</v>
      </c>
      <c r="C21" s="53"/>
      <c r="D21" s="53"/>
      <c r="E21" s="53"/>
      <c r="F21" s="53"/>
      <c r="G21" s="40">
        <f t="shared" si="2"/>
        <v>0</v>
      </c>
      <c r="H21" s="6"/>
      <c r="I21" s="4"/>
    </row>
    <row r="22" spans="1:10" ht="30" customHeight="1" x14ac:dyDescent="0.25">
      <c r="B22" s="44">
        <f t="shared" si="0"/>
        <v>46243</v>
      </c>
      <c r="C22" s="53"/>
      <c r="D22" s="53"/>
      <c r="E22" s="53"/>
      <c r="F22" s="53"/>
      <c r="G22" s="40">
        <f t="shared" si="2"/>
        <v>0</v>
      </c>
    </row>
    <row r="23" spans="1:10" ht="30" customHeight="1" x14ac:dyDescent="0.25">
      <c r="B23" s="44">
        <f t="shared" si="0"/>
        <v>46244</v>
      </c>
      <c r="C23" s="39">
        <v>0.375</v>
      </c>
      <c r="D23" s="39"/>
      <c r="E23" s="39"/>
      <c r="F23" s="39">
        <v>0.58333333333333337</v>
      </c>
      <c r="G23" s="40">
        <f t="shared" si="2"/>
        <v>5.0000000000000009</v>
      </c>
    </row>
    <row r="24" spans="1:10" ht="30" customHeight="1" x14ac:dyDescent="0.25">
      <c r="B24" s="44">
        <f t="shared" si="0"/>
        <v>46245</v>
      </c>
      <c r="C24" s="39">
        <v>0.375</v>
      </c>
      <c r="D24" s="39"/>
      <c r="E24" s="39"/>
      <c r="F24" s="39">
        <v>0.58333333333333337</v>
      </c>
      <c r="G24" s="40">
        <f t="shared" si="2"/>
        <v>5.0000000000000009</v>
      </c>
    </row>
    <row r="25" spans="1:10" ht="30" customHeight="1" x14ac:dyDescent="0.25">
      <c r="B25" s="44">
        <f t="shared" si="0"/>
        <v>46246</v>
      </c>
      <c r="C25" s="39">
        <v>0.375</v>
      </c>
      <c r="D25" s="39"/>
      <c r="E25" s="39"/>
      <c r="F25" s="39">
        <v>0.54166666666666663</v>
      </c>
      <c r="G25" s="40">
        <f t="shared" si="2"/>
        <v>3.9999999999999991</v>
      </c>
    </row>
    <row r="26" spans="1:10" ht="30" customHeight="1" x14ac:dyDescent="0.25">
      <c r="B26" s="44">
        <f t="shared" si="0"/>
        <v>46247</v>
      </c>
      <c r="C26" s="53">
        <v>0.375</v>
      </c>
      <c r="D26" s="53"/>
      <c r="E26" s="53"/>
      <c r="F26" s="53">
        <v>0.54166666666666663</v>
      </c>
      <c r="G26" s="40">
        <f t="shared" si="2"/>
        <v>3.9999999999999991</v>
      </c>
      <c r="J26" s="43" t="s">
        <v>15</v>
      </c>
    </row>
    <row r="27" spans="1:10" ht="30" customHeight="1" x14ac:dyDescent="0.25">
      <c r="B27" s="44">
        <f t="shared" si="0"/>
        <v>46248</v>
      </c>
      <c r="C27" s="53">
        <v>0.375</v>
      </c>
      <c r="D27" s="53"/>
      <c r="E27" s="53"/>
      <c r="F27" s="53">
        <v>0.54166666666666663</v>
      </c>
      <c r="G27" s="40">
        <f t="shared" si="2"/>
        <v>3.9999999999999991</v>
      </c>
    </row>
    <row r="28" spans="1:10" ht="30" customHeight="1" x14ac:dyDescent="0.25">
      <c r="B28" s="44">
        <f t="shared" si="0"/>
        <v>46249</v>
      </c>
      <c r="C28" s="53"/>
      <c r="D28" s="53"/>
      <c r="E28" s="53"/>
      <c r="F28" s="53"/>
      <c r="G28" s="40">
        <f t="shared" si="2"/>
        <v>0</v>
      </c>
    </row>
    <row r="29" spans="1:10" ht="30" customHeight="1" x14ac:dyDescent="0.25">
      <c r="B29" s="44">
        <f t="shared" si="0"/>
        <v>46250</v>
      </c>
      <c r="C29" s="53"/>
      <c r="D29" s="53"/>
      <c r="E29" s="53"/>
      <c r="F29" s="53"/>
      <c r="G29" s="40">
        <f t="shared" si="2"/>
        <v>0</v>
      </c>
    </row>
    <row r="30" spans="1:10" ht="30" customHeight="1" x14ac:dyDescent="0.25">
      <c r="B30" s="44">
        <f t="shared" si="0"/>
        <v>46251</v>
      </c>
      <c r="C30" s="39">
        <v>0.375</v>
      </c>
      <c r="D30" s="39"/>
      <c r="E30" s="39"/>
      <c r="F30" s="39">
        <v>0.58333333333333337</v>
      </c>
      <c r="G30" s="40">
        <f t="shared" si="2"/>
        <v>5.0000000000000009</v>
      </c>
    </row>
    <row r="31" spans="1:10" ht="30" customHeight="1" x14ac:dyDescent="0.25">
      <c r="B31" s="44">
        <f t="shared" si="0"/>
        <v>46252</v>
      </c>
      <c r="C31" s="39">
        <v>0.375</v>
      </c>
      <c r="D31" s="39"/>
      <c r="E31" s="39"/>
      <c r="F31" s="39">
        <v>0.58333333333333337</v>
      </c>
      <c r="G31" s="40">
        <f t="shared" si="2"/>
        <v>5.0000000000000009</v>
      </c>
    </row>
    <row r="32" spans="1:10" ht="30" customHeight="1" x14ac:dyDescent="0.25">
      <c r="B32" s="44">
        <f t="shared" si="0"/>
        <v>46253</v>
      </c>
      <c r="C32" s="39">
        <v>0.375</v>
      </c>
      <c r="D32" s="39"/>
      <c r="E32" s="39"/>
      <c r="F32" s="39">
        <v>0.54166666666666663</v>
      </c>
      <c r="G32" s="40">
        <f t="shared" si="2"/>
        <v>3.9999999999999991</v>
      </c>
    </row>
    <row r="33" spans="2:7" ht="30" customHeight="1" x14ac:dyDescent="0.25">
      <c r="B33" s="44">
        <f t="shared" si="0"/>
        <v>46254</v>
      </c>
      <c r="C33" s="53">
        <v>0.375</v>
      </c>
      <c r="D33" s="53"/>
      <c r="E33" s="53"/>
      <c r="F33" s="53">
        <v>0.54166666666666663</v>
      </c>
      <c r="G33" s="40">
        <f t="shared" si="2"/>
        <v>3.9999999999999991</v>
      </c>
    </row>
    <row r="34" spans="2:7" ht="30" customHeight="1" x14ac:dyDescent="0.25">
      <c r="B34" s="44">
        <f t="shared" si="0"/>
        <v>46255</v>
      </c>
      <c r="C34" s="53">
        <v>0.375</v>
      </c>
      <c r="D34" s="53"/>
      <c r="E34" s="53"/>
      <c r="F34" s="53">
        <v>0.54166666666666663</v>
      </c>
      <c r="G34" s="40">
        <f t="shared" si="2"/>
        <v>3.9999999999999991</v>
      </c>
    </row>
    <row r="35" spans="2:7" ht="30" customHeight="1" x14ac:dyDescent="0.25">
      <c r="B35" s="44">
        <f t="shared" si="0"/>
        <v>46256</v>
      </c>
      <c r="C35" s="53"/>
      <c r="D35" s="53"/>
      <c r="E35" s="53"/>
      <c r="F35" s="53"/>
      <c r="G35" s="40">
        <f t="shared" si="2"/>
        <v>0</v>
      </c>
    </row>
    <row r="36" spans="2:7" ht="30" customHeight="1" x14ac:dyDescent="0.25">
      <c r="B36" s="44">
        <f t="shared" si="0"/>
        <v>46257</v>
      </c>
      <c r="C36" s="53"/>
      <c r="D36" s="53"/>
      <c r="E36" s="53"/>
      <c r="F36" s="53"/>
      <c r="G36" s="40">
        <f t="shared" si="2"/>
        <v>0</v>
      </c>
    </row>
    <row r="37" spans="2:7" ht="30" customHeight="1" x14ac:dyDescent="0.25">
      <c r="B37" s="44">
        <f t="shared" si="0"/>
        <v>46258</v>
      </c>
      <c r="C37" s="39">
        <v>0.375</v>
      </c>
      <c r="D37" s="39"/>
      <c r="E37" s="39"/>
      <c r="F37" s="39">
        <v>0.58333333333333337</v>
      </c>
      <c r="G37" s="40">
        <f t="shared" si="2"/>
        <v>5.0000000000000009</v>
      </c>
    </row>
    <row r="38" spans="2:7" ht="30" customHeight="1" x14ac:dyDescent="0.25">
      <c r="B38" s="44">
        <f t="shared" si="0"/>
        <v>46259</v>
      </c>
      <c r="C38" s="39">
        <v>0.375</v>
      </c>
      <c r="D38" s="39"/>
      <c r="E38" s="39"/>
      <c r="F38" s="39">
        <v>0.58333333333333337</v>
      </c>
      <c r="G38" s="40">
        <f t="shared" si="2"/>
        <v>5.0000000000000009</v>
      </c>
    </row>
    <row r="39" spans="2:7" ht="30" customHeight="1" x14ac:dyDescent="0.25">
      <c r="B39" s="44">
        <f t="shared" si="0"/>
        <v>46260</v>
      </c>
      <c r="C39" s="39">
        <v>0.375</v>
      </c>
      <c r="D39" s="39"/>
      <c r="E39" s="39"/>
      <c r="F39" s="39">
        <v>0.54166666666666663</v>
      </c>
      <c r="G39" s="40">
        <f t="shared" si="2"/>
        <v>3.9999999999999991</v>
      </c>
    </row>
    <row r="40" spans="2:7" ht="30" customHeight="1" x14ac:dyDescent="0.25">
      <c r="B40" s="44">
        <f t="shared" si="0"/>
        <v>46261</v>
      </c>
      <c r="C40" s="53">
        <v>0.375</v>
      </c>
      <c r="D40" s="53"/>
      <c r="E40" s="53"/>
      <c r="F40" s="53">
        <v>0.54166666666666663</v>
      </c>
      <c r="G40" s="40">
        <f t="shared" si="2"/>
        <v>3.9999999999999991</v>
      </c>
    </row>
    <row r="41" spans="2:7" ht="30" customHeight="1" x14ac:dyDescent="0.25">
      <c r="B41" s="44">
        <f t="shared" si="0"/>
        <v>46262</v>
      </c>
      <c r="C41" s="53">
        <v>0.375</v>
      </c>
      <c r="D41" s="53"/>
      <c r="E41" s="53"/>
      <c r="F41" s="53">
        <v>0.54166666666666663</v>
      </c>
      <c r="G41" s="40">
        <f t="shared" si="2"/>
        <v>3.9999999999999991</v>
      </c>
    </row>
    <row r="42" spans="2:7" ht="30" customHeight="1" x14ac:dyDescent="0.25">
      <c r="B42" s="44">
        <f t="shared" si="0"/>
        <v>46263</v>
      </c>
      <c r="C42" s="53"/>
      <c r="D42" s="53"/>
      <c r="E42" s="53"/>
      <c r="F42" s="53"/>
      <c r="G42" s="40">
        <f t="shared" si="2"/>
        <v>0</v>
      </c>
    </row>
    <row r="43" spans="2:7" ht="30" customHeight="1" x14ac:dyDescent="0.25">
      <c r="B43" s="44">
        <f t="shared" si="0"/>
        <v>46264</v>
      </c>
      <c r="C43" s="53"/>
      <c r="D43" s="53"/>
      <c r="E43" s="53"/>
      <c r="F43" s="53"/>
      <c r="G43" s="40">
        <f t="shared" si="2"/>
        <v>0</v>
      </c>
    </row>
    <row r="44" spans="2:7" ht="30" customHeight="1" x14ac:dyDescent="0.25">
      <c r="B44" s="44">
        <f t="shared" si="0"/>
        <v>46265</v>
      </c>
      <c r="C44" s="39">
        <v>0.375</v>
      </c>
      <c r="D44" s="39"/>
      <c r="E44" s="39"/>
      <c r="F44" s="39">
        <v>0.58333333333333337</v>
      </c>
      <c r="G44" s="40">
        <f t="shared" si="2"/>
        <v>5.0000000000000009</v>
      </c>
    </row>
    <row r="45" spans="2:7" ht="30" customHeight="1" x14ac:dyDescent="0.25">
      <c r="B45" s="6"/>
      <c r="C45" s="6"/>
      <c r="D45" s="6"/>
      <c r="E45" s="6"/>
      <c r="F45" s="6"/>
      <c r="G45" s="6"/>
    </row>
    <row r="46" spans="2:7" ht="30" customHeight="1" x14ac:dyDescent="0.25">
      <c r="C46" s="41"/>
    </row>
  </sheetData>
  <mergeCells count="2">
    <mergeCell ref="B2:E2"/>
    <mergeCell ref="B3:E3"/>
  </mergeCells>
  <dataValidations count="16">
    <dataValidation allowBlank="1" showInputMessage="1" showErrorMessage="1" prompt="Enter Employee Name in this cell" sqref="B6" xr:uid="{00000000-0002-0000-0000-000001000000}"/>
    <dataValidation allowBlank="1" showInputMessage="1" showErrorMessage="1" prompt="Enter Employee's Phone No in this cell" sqref="B7" xr:uid="{00000000-0002-0000-0000-000002000000}"/>
    <dataValidation allowBlank="1" showInputMessage="1" showErrorMessage="1" prompt="Enter Manager Name in this cell" sqref="E6" xr:uid="{00000000-0002-0000-0000-000003000000}"/>
    <dataValidation allowBlank="1" showInputMessage="1" showErrorMessage="1" prompt="Enter Manager's Phone No in this cell" sqref="E7" xr:uid="{00000000-0002-0000-0000-000004000000}"/>
    <dataValidation allowBlank="1" showInputMessage="1" showErrorMessage="1" prompt="Enter Employee Details in this section" sqref="B5" xr:uid="{00000000-0002-0000-0000-000005000000}"/>
    <dataValidation allowBlank="1" showInputMessage="1" showErrorMessage="1" prompt="Enter Manager Details in this section" sqref="E5" xr:uid="{00000000-0002-0000-0000-000006000000}"/>
    <dataValidation allowBlank="1" showInputMessage="1" showErrorMessage="1" prompt="Enter Timesheet Period in this section" sqref="B10" xr:uid="{00000000-0002-0000-0000-000007000000}"/>
    <dataValidation allowBlank="1" showInputMessage="1" showErrorMessage="1" prompt="Enter Period Start Date in this cell" sqref="B12 E12" xr:uid="{00000000-0002-0000-0000-000008000000}"/>
    <dataValidation allowBlank="1" showInputMessage="1" showErrorMessage="1" prompt="Total Hours Worked are automatically calculated in this cell" sqref="E9" xr:uid="{00000000-0002-0000-0000-00000B000000}"/>
    <dataValidation allowBlank="1" showInputMessage="1" showErrorMessage="1" prompt="Hours Worked is automatically calculated in this column" sqref="G13" xr:uid="{00000000-0002-0000-0000-00000E000000}"/>
    <dataValidation allowBlank="1" showInputMessage="1" showErrorMessage="1" prompt="Enter Time Out in this column" sqref="F13" xr:uid="{00000000-0002-0000-0000-00000F000000}"/>
    <dataValidation allowBlank="1" showInputMessage="1" showErrorMessage="1" prompt="Enter Lunch Start time in this column" sqref="D13" xr:uid="{00000000-0002-0000-0000-000011000000}"/>
    <dataValidation allowBlank="1" showInputMessage="1" showErrorMessage="1" prompt="Enter Time In in this column" sqref="C13" xr:uid="{00000000-0002-0000-0000-000012000000}"/>
    <dataValidation allowBlank="1" showInputMessage="1" showErrorMessage="1" prompt="Enter Date in this column" sqref="B13" xr:uid="{00000000-0002-0000-0000-000013000000}"/>
    <dataValidation allowBlank="1" showInputMessage="1" showErrorMessage="1" prompt="Enter Total Work Week Hours in this cell" sqref="B9" xr:uid="{35FF9608-47CD-4E7A-A791-2A3BA9F3327B}"/>
    <dataValidation allowBlank="1" showInputMessage="1" showErrorMessage="1" prompt="Enter Lunch End time in this column" sqref="E13" xr:uid="{00000000-0002-0000-0000-000010000000}"/>
  </dataValidations>
  <printOptions horizontalCentered="1"/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581376-5A3E-476D-9664-3104BA1033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E7DBDF-C09E-4710-8CF7-68240FA84CF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3C8B1FE-E4A3-4745-84DE-9B140A8F5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TM77799521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Timesheet</vt:lpstr>
      <vt:lpstr>TotalHoursWorked</vt:lpstr>
      <vt:lpstr>WorkWeekHours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2025-07-31T20:17:25Z</dcterms:created>
  <dcterms:modified xsi:type="dcterms:W3CDTF">2026-08-31T21:37:06Z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